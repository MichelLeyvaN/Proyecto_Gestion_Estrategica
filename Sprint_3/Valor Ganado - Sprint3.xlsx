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8_{BA3E56DA-B861-4382-86D3-C358883BB0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4" l="1"/>
  <c r="H25" i="14" s="1"/>
  <c r="I24" i="14"/>
  <c r="H22" i="14"/>
  <c r="I22" i="14"/>
  <c r="F25" i="14"/>
  <c r="G25" i="14"/>
  <c r="G24" i="14"/>
  <c r="F24" i="14"/>
  <c r="I25" i="14" l="1"/>
  <c r="G22" i="14"/>
  <c r="F22" i="14"/>
  <c r="E24" i="14"/>
  <c r="D24" i="14"/>
  <c r="C30" i="14" l="1"/>
  <c r="D22" i="14"/>
  <c r="E22" i="14" s="1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C31" i="14" l="1"/>
  <c r="E25" i="14"/>
  <c r="D25" i="14"/>
  <c r="C33" i="14" l="1"/>
  <c r="C32" i="14"/>
  <c r="C34" i="14" s="1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<sst xmlns="http://schemas.openxmlformats.org/spreadsheetml/2006/main" count="53" uniqueCount="53">
  <si>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</si>
  <si>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</si>
  <si>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</si>
  <si>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</si>
  <si>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</si>
  <si>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</si>
  <si>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</si>
  <si>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</si>
  <si>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</si>
  <si>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</si>
  <si>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</si>
  <si>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</si>
  <si>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</si>
  <si>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</si>
  <si>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</si>
  <si>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Año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</si>
  <si>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</si>
  <si>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</si>
  <si>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</si>
  <si>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</si>
  <si>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</si>
  <si>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</si>
  <si>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</si>
  <si>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</si>
  <si>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</si>
  <si>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</si>
  <si>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</si>
  <si>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</si>
  <si>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</si>
  <si>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</si>
  <si>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</si>
  <si>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</si>
  <si>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</si>
  <si>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</si>
  <si>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</si>
  <si>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</si>
  <si>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 xml:space="preserve">Planificació de estartegias de identificación y retención de clientes para generación de marketing </t>
  </si>
  <si>
    <t>LTV_str</t>
  </si>
  <si>
    <t>16 de febrero de 2026</t>
  </si>
  <si>
    <t>27 de febrero de 2026</t>
  </si>
  <si>
    <t>25 de febrero de 2026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</si>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</sst>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0.0%"/>
    <numFmt numFmtId="169" formatCode="#,##0_ ;[Red]\-#,##0\ 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4" xfId="0" applyFont="1" applyFill="1" applyBorder="1"/>
    <xf numFmtId="0" fontId="9" fillId="5" borderId="5" xfId="0" applyFont="1" applyFill="1" applyBorder="1" applyAlignment="1">
      <alignment horizontal="center"/>
    </xf>
    <xf numFmtId="3" fontId="2" fillId="3" borderId="7" xfId="0" applyNumberFormat="1" applyFont="1" applyFill="1" applyBorder="1" applyAlignment="1" applyProtection="1">
      <alignment horizontal="right" vertical="top" wrapText="1"/>
      <protection locked="0"/>
    </xf>
    <xf numFmtId="3" fontId="2" fillId="3" borderId="7" xfId="0" quotePrefix="1" applyNumberFormat="1" applyFont="1" applyFill="1" applyBorder="1" applyAlignment="1" applyProtection="1">
      <alignment horizontal="right" vertical="top" wrapText="1"/>
      <protection locked="0"/>
    </xf>
    <xf numFmtId="3" fontId="2" fillId="3" borderId="8" xfId="0" applyNumberFormat="1" applyFont="1" applyFill="1" applyBorder="1" applyAlignment="1" applyProtection="1">
      <alignment horizontal="right" vertical="top" wrapText="1"/>
      <protection locked="0"/>
    </xf>
    <xf numFmtId="3" fontId="2" fillId="3" borderId="5" xfId="0" applyNumberFormat="1" applyFont="1" applyFill="1" applyBorder="1" applyAlignment="1" applyProtection="1">
      <alignment horizontal="right" vertical="top" wrapText="1"/>
      <protection locked="0"/>
    </xf>
    <xf numFmtId="3" fontId="2" fillId="3" borderId="6" xfId="0" applyNumberFormat="1" applyFont="1" applyFill="1" applyBorder="1" applyAlignment="1" applyProtection="1">
      <alignment horizontal="right" vertical="top" wrapText="1"/>
      <protection locked="0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7" xfId="0" applyFont="1" applyFill="1" applyBorder="1"/>
    <xf numFmtId="0" fontId="0" fillId="5" borderId="1" xfId="0" applyFill="1" applyBorder="1"/>
    <xf numFmtId="0" fontId="0" fillId="0" borderId="20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6" xfId="1" applyNumberFormat="1" applyFont="1" applyFill="1" applyBorder="1"/>
    <xf numFmtId="168" fontId="2" fillId="3" borderId="21" xfId="2" applyNumberFormat="1" applyFont="1" applyFill="1" applyBorder="1" applyAlignment="1">
      <alignment horizontal="right" vertical="top" wrapText="1"/>
    </xf>
    <xf numFmtId="169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9" fillId="5" borderId="25" xfId="0" applyFont="1" applyFill="1" applyBorder="1"/>
    <xf numFmtId="0" fontId="9" fillId="5" borderId="26" xfId="0" applyFont="1" applyFill="1" applyBorder="1"/>
    <xf numFmtId="0" fontId="12" fillId="0" borderId="25" xfId="0" applyFont="1" applyBorder="1"/>
    <xf numFmtId="0" fontId="0" fillId="0" borderId="27" xfId="0" applyBorder="1"/>
    <xf numFmtId="0" fontId="0" fillId="0" borderId="26" xfId="0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29" xfId="0" applyBorder="1"/>
    <xf numFmtId="0" fontId="2" fillId="0" borderId="0" xfId="0" applyFont="1" applyAlignment="1">
      <alignment vertical="center"/>
    </xf>
    <xf numFmtId="44" fontId="14" fillId="3" borderId="11" xfId="1" applyFont="1" applyFill="1" applyBorder="1" applyAlignment="1">
      <alignment horizontal="center"/>
    </xf>
    <xf numFmtId="9" fontId="2" fillId="3" borderId="22" xfId="2" applyFont="1" applyFill="1" applyBorder="1" applyAlignment="1">
      <alignment horizontal="right" vertical="top" wrapText="1"/>
    </xf>
    <xf numFmtId="9" fontId="2" fillId="3" borderId="23" xfId="2" applyFont="1" applyFill="1" applyBorder="1" applyAlignment="1">
      <alignment horizontal="right" vertical="top" wrapText="1"/>
    </xf>
    <xf numFmtId="168" fontId="2" fillId="3" borderId="22" xfId="2" applyNumberFormat="1" applyFont="1" applyFill="1" applyBorder="1" applyAlignment="1">
      <alignment horizontal="right" vertical="top" wrapText="1"/>
    </xf>
    <xf numFmtId="0" fontId="9" fillId="5" borderId="18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9" fontId="0" fillId="0" borderId="0" xfId="2" applyFont="1"/>
  </cellXfs>
  <cellStyles count="3">
    <cellStyle name="Moneda" xfId="1" builtinId="4"/>
    <cellStyle name="Normal" xfId="0" builtinId="0"/>
    <cellStyle name="Porcentaje" xfId="2" builtinId="5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outline="0">
        <bottom style="thin">
          <color indexed="64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EVM'!$D$20:$O$20</c:f>
              <c:numCache>
                <c:formatCode>_-"$"* #,##0_-;\-"$"* #,##0_-;_-"$"* "-"??_-;_-@_-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B-42E7-A47E-674EDF2C14C0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EVM'!$D$22:$O$22</c:f>
              <c:numCache>
                <c:formatCode>_-"$"* #,##0_-;\-"$"* #,##0_-;_-"$"* "-"??_-;_-@_-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  <c:pt idx="4">
                  <c:v>109100</c:v>
                </c:pt>
                <c:pt idx="5">
                  <c:v>133800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B-42E7-A47E-674EDF2C14C0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EVM'!$D$25:$O$25</c:f>
              <c:numCache>
                <c:formatCode>_-"$"* #,##0_-;\-"$"* #,##0_-;_-"$"* "-"??_-;_-@_-</c:formatCode>
                <c:ptCount val="12"/>
                <c:pt idx="0">
                  <c:v>5250</c:v>
                </c:pt>
                <c:pt idx="1">
                  <c:v>15750</c:v>
                </c:pt>
                <c:pt idx="2">
                  <c:v>31500</c:v>
                </c:pt>
                <c:pt idx="3">
                  <c:v>28000</c:v>
                </c:pt>
                <c:pt idx="4">
                  <c:v>42000</c:v>
                </c:pt>
                <c:pt idx="5">
                  <c:v>77000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B-42E7-A47E-674EDF2C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14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2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16" dataDxfId="15" headerRowBorderDxfId="13" tableBorderDxfId="14" totalsRowBorderDxfId="12">
  <tableColumns count="12">
    <tableColumn id="1" xr3:uid="{00000000-0010-0000-0000-000001000000}" name="Semana 1" dataDxfId="11"/>
    <tableColumn id="2" xr3:uid="{00000000-0010-0000-0000-000002000000}" name="Semana 2" dataDxfId="10"/>
    <tableColumn id="3" xr3:uid="{00000000-0010-0000-0000-000003000000}" name="Semana 3" dataDxfId="9"/>
    <tableColumn id="4" xr3:uid="{00000000-0010-0000-0000-000004000000}" name="Semana 4" dataDxfId="8"/>
    <tableColumn id="5" xr3:uid="{00000000-0010-0000-0000-000005000000}" name="Semana 5" dataDxfId="7"/>
    <tableColumn id="6" xr3:uid="{00000000-0010-0000-0000-000006000000}" name="Semana 6" dataDxfId="6"/>
    <tableColumn id="7" xr3:uid="{00000000-0010-0000-0000-000007000000}" name="Semana 7" dataDxfId="5"/>
    <tableColumn id="8" xr3:uid="{00000000-0010-0000-0000-000008000000}" name="Semana 8" dataDxfId="4"/>
    <tableColumn id="9" xr3:uid="{00000000-0010-0000-0000-000009000000}" name="Semana 9" dataDxfId="3"/>
    <tableColumn id="10" xr3:uid="{00000000-0010-0000-0000-00000A000000}" name="Semana 10" dataDxfId="2"/>
    <tableColumn id="11" xr3:uid="{00000000-0010-0000-0000-00000B000000}" name="Semana 11" dataDxfId="1"/>
    <tableColumn id="12" xr3:uid="{00000000-0010-0000-0000-00000C000000}" name="Semana 1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12" zoomScale="86" zoomScaleNormal="100" workbookViewId="0">
      <selection activeCell="L24" sqref="L24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9.109375" customWidth="1"/>
    <col min="8" max="8" width="10.109375" customWidth="1"/>
    <col min="9" max="9" width="10.44140625" customWidth="1"/>
    <col min="10" max="10" width="10" customWidth="1"/>
    <col min="11" max="11" width="10.44140625" customWidth="1"/>
    <col min="12" max="12" width="10.5546875" customWidth="1"/>
    <col min="13" max="13" width="13" customWidth="1"/>
    <col min="14" max="14" width="10.5546875" customWidth="1"/>
    <col min="15" max="15" width="11.33203125" customWidth="1"/>
    <col min="16" max="16" width="10.5546875" bestFit="1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68"/>
      <c r="O6" s="68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69"/>
      <c r="O7" s="69"/>
      <c r="P7" s="9"/>
    </row>
    <row r="8" spans="2:18" ht="16.5" customHeight="1" x14ac:dyDescent="0.4">
      <c r="B8" s="70" t="s">
        <v>9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9"/>
    </row>
    <row r="9" spans="2:18" ht="16.5" customHeight="1" thickBot="1" x14ac:dyDescent="0.35">
      <c r="Q9" s="9"/>
    </row>
    <row r="10" spans="2:18" ht="16.5" customHeight="1" x14ac:dyDescent="0.3">
      <c r="B10" s="46" t="s">
        <v>10</v>
      </c>
      <c r="C10" s="47" t="s">
        <v>36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/>
      <c r="Q10" s="9"/>
    </row>
    <row r="11" spans="2:18" ht="16.5" customHeight="1" x14ac:dyDescent="0.3">
      <c r="B11" s="39" t="s">
        <v>11</v>
      </c>
      <c r="C11" s="18" t="s">
        <v>37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50"/>
      <c r="Q11" s="9"/>
    </row>
    <row r="12" spans="2:18" ht="16.5" customHeight="1" thickBot="1" x14ac:dyDescent="0.35">
      <c r="B12" s="40" t="s">
        <v>12</v>
      </c>
      <c r="C12" s="51" t="s">
        <v>38</v>
      </c>
      <c r="D12" s="52"/>
      <c r="E12" s="53" t="s">
        <v>13</v>
      </c>
      <c r="F12" s="54"/>
      <c r="G12" s="55" t="s">
        <v>39</v>
      </c>
      <c r="H12" s="56"/>
      <c r="I12" s="57"/>
      <c r="J12" s="53" t="s">
        <v>14</v>
      </c>
      <c r="K12" s="54"/>
      <c r="L12" s="51" t="s">
        <v>40</v>
      </c>
      <c r="M12" s="58"/>
      <c r="N12" s="59"/>
      <c r="O12" s="60"/>
      <c r="P12" s="9"/>
    </row>
    <row r="13" spans="2:18" ht="16.5" customHeight="1" x14ac:dyDescent="0.3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69"/>
      <c r="O14" s="69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69"/>
      <c r="O15" s="69"/>
      <c r="P15" s="9"/>
      <c r="Q15" s="3"/>
    </row>
    <row r="16" spans="2:18" ht="16.5" customHeight="1" x14ac:dyDescent="0.3">
      <c r="B16" s="35"/>
      <c r="C16" s="36"/>
      <c r="D16" s="66" t="s">
        <v>15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7"/>
      <c r="P16" s="2"/>
      <c r="R16" s="3"/>
    </row>
    <row r="17" spans="2:16" ht="15" customHeight="1" x14ac:dyDescent="0.3">
      <c r="B17" s="37"/>
      <c r="C17" s="22"/>
      <c r="D17" s="23" t="s">
        <v>41</v>
      </c>
      <c r="E17" s="23" t="s">
        <v>42</v>
      </c>
      <c r="F17" s="23" t="s">
        <v>43</v>
      </c>
      <c r="G17" s="23" t="s">
        <v>44</v>
      </c>
      <c r="H17" s="23" t="s">
        <v>45</v>
      </c>
      <c r="I17" s="23" t="s">
        <v>46</v>
      </c>
      <c r="J17" s="23" t="s">
        <v>47</v>
      </c>
      <c r="K17" s="23" t="s">
        <v>48</v>
      </c>
      <c r="L17" s="23" t="s">
        <v>49</v>
      </c>
      <c r="M17" s="23" t="s">
        <v>50</v>
      </c>
      <c r="N17" s="23" t="s">
        <v>51</v>
      </c>
      <c r="O17" s="23" t="s">
        <v>52</v>
      </c>
    </row>
    <row r="18" spans="2:16" ht="15.75" hidden="1" customHeight="1" thickBot="1" x14ac:dyDescent="0.35">
      <c r="B18" s="38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6" ht="15" customHeight="1" x14ac:dyDescent="0.3">
      <c r="B19" s="39" t="s">
        <v>16</v>
      </c>
      <c r="C19" s="23"/>
      <c r="D19" s="24">
        <v>35500</v>
      </c>
      <c r="E19" s="24">
        <v>17000</v>
      </c>
      <c r="F19" s="24">
        <v>20000</v>
      </c>
      <c r="G19" s="24">
        <v>22000</v>
      </c>
      <c r="H19" s="24">
        <v>26000</v>
      </c>
      <c r="I19" s="24">
        <v>26500</v>
      </c>
      <c r="J19" s="24">
        <v>38000</v>
      </c>
      <c r="K19" s="24">
        <v>42500</v>
      </c>
      <c r="L19" s="24">
        <v>19000</v>
      </c>
      <c r="M19" s="24">
        <v>16000</v>
      </c>
      <c r="N19" s="25">
        <v>53000</v>
      </c>
      <c r="O19" s="26">
        <v>34500</v>
      </c>
    </row>
    <row r="20" spans="2:16" ht="15" customHeight="1" x14ac:dyDescent="0.3">
      <c r="B20" s="39" t="s">
        <v>17</v>
      </c>
      <c r="C20" s="23" t="s">
        <v>2</v>
      </c>
      <c r="D20" s="42">
        <f>D19</f>
        <v>35500</v>
      </c>
      <c r="E20" s="42">
        <f>D19+E19</f>
        <v>52500</v>
      </c>
      <c r="F20" s="42">
        <f>E20+F19</f>
        <v>72500</v>
      </c>
      <c r="G20" s="42">
        <f>F20+G19</f>
        <v>94500</v>
      </c>
      <c r="H20" s="42">
        <f t="shared" ref="H20:O20" si="0">G20+H19</f>
        <v>120500</v>
      </c>
      <c r="I20" s="42">
        <f t="shared" si="0"/>
        <v>147000</v>
      </c>
      <c r="J20" s="42">
        <f t="shared" si="0"/>
        <v>185000</v>
      </c>
      <c r="K20" s="42">
        <f t="shared" si="0"/>
        <v>227500</v>
      </c>
      <c r="L20" s="42">
        <f t="shared" si="0"/>
        <v>246500</v>
      </c>
      <c r="M20" s="42">
        <f t="shared" si="0"/>
        <v>262500</v>
      </c>
      <c r="N20" s="42">
        <f t="shared" si="0"/>
        <v>315500</v>
      </c>
      <c r="O20" s="43">
        <f t="shared" si="0"/>
        <v>350000</v>
      </c>
    </row>
    <row r="21" spans="2:16" ht="15" customHeight="1" x14ac:dyDescent="0.3">
      <c r="B21" s="39" t="s">
        <v>18</v>
      </c>
      <c r="C21" s="23"/>
      <c r="D21" s="27">
        <v>30000</v>
      </c>
      <c r="E21" s="27">
        <v>16000</v>
      </c>
      <c r="F21" s="27">
        <v>18500</v>
      </c>
      <c r="G21" s="27">
        <v>20100</v>
      </c>
      <c r="H21" s="27">
        <v>24500</v>
      </c>
      <c r="I21" s="27">
        <v>24700</v>
      </c>
      <c r="J21" s="27"/>
      <c r="K21" s="27"/>
      <c r="L21" s="27"/>
      <c r="M21" s="27"/>
      <c r="N21" s="27"/>
      <c r="O21" s="28"/>
    </row>
    <row r="22" spans="2:16" x14ac:dyDescent="0.3">
      <c r="B22" s="39" t="s">
        <v>19</v>
      </c>
      <c r="C22" s="23" t="s">
        <v>3</v>
      </c>
      <c r="D22" s="42">
        <f>D21</f>
        <v>30000</v>
      </c>
      <c r="E22" s="42">
        <f>D22+E21</f>
        <v>46000</v>
      </c>
      <c r="F22" s="42">
        <f t="shared" ref="F22" si="1">E22+F21</f>
        <v>64500</v>
      </c>
      <c r="G22" s="42">
        <f>F22+G21</f>
        <v>84600</v>
      </c>
      <c r="H22" s="42">
        <f>G22+H21</f>
        <v>109100</v>
      </c>
      <c r="I22" s="42">
        <f t="shared" ref="H22:I22" si="2">H22+I21</f>
        <v>133800</v>
      </c>
      <c r="J22" s="42"/>
      <c r="K22" s="42"/>
      <c r="L22" s="42"/>
      <c r="M22" s="42"/>
      <c r="N22" s="42"/>
      <c r="O22" s="42"/>
    </row>
    <row r="23" spans="2:16" x14ac:dyDescent="0.3">
      <c r="B23" s="39" t="s">
        <v>23</v>
      </c>
      <c r="C23" s="23" t="s">
        <v>24</v>
      </c>
      <c r="D23" s="44">
        <v>1.4999999999999999E-2</v>
      </c>
      <c r="E23" s="44">
        <v>0.03</v>
      </c>
      <c r="F23" s="65">
        <v>0.06</v>
      </c>
      <c r="G23" s="65">
        <v>0.02</v>
      </c>
      <c r="H23" s="63">
        <v>0.1</v>
      </c>
      <c r="I23" s="63">
        <v>0.12</v>
      </c>
      <c r="J23" s="63"/>
      <c r="K23" s="63"/>
      <c r="L23" s="63"/>
      <c r="M23" s="63"/>
      <c r="N23" s="63"/>
      <c r="O23" s="64"/>
      <c r="P23" s="71"/>
    </row>
    <row r="24" spans="2:16" x14ac:dyDescent="0.3">
      <c r="B24" s="39" t="s">
        <v>1</v>
      </c>
      <c r="C24" s="23"/>
      <c r="D24" s="42">
        <f>D23*$C$27</f>
        <v>5250</v>
      </c>
      <c r="E24" s="42">
        <f>E23*$C$27</f>
        <v>10500</v>
      </c>
      <c r="F24" s="42">
        <f>F23*$C$27</f>
        <v>21000</v>
      </c>
      <c r="G24" s="42">
        <f>G23*$C$27</f>
        <v>7000</v>
      </c>
      <c r="H24" s="42">
        <f t="shared" ref="H24:I24" si="3">H23*$C$27</f>
        <v>35000</v>
      </c>
      <c r="I24" s="42">
        <f t="shared" si="3"/>
        <v>42000</v>
      </c>
      <c r="J24" s="42"/>
      <c r="K24" s="42"/>
      <c r="L24" s="42"/>
      <c r="M24" s="42"/>
      <c r="N24" s="42"/>
      <c r="O24" s="42"/>
    </row>
    <row r="25" spans="2:16" ht="15" thickBot="1" x14ac:dyDescent="0.35">
      <c r="B25" s="40" t="s">
        <v>5</v>
      </c>
      <c r="C25" s="41" t="s">
        <v>4</v>
      </c>
      <c r="D25" s="42">
        <f>D24</f>
        <v>5250</v>
      </c>
      <c r="E25" s="42">
        <f>D24+E24</f>
        <v>15750</v>
      </c>
      <c r="F25" s="42">
        <f t="shared" ref="F25:G25" si="4">E24+F24</f>
        <v>31500</v>
      </c>
      <c r="G25" s="42">
        <f t="shared" si="4"/>
        <v>28000</v>
      </c>
      <c r="H25" s="42">
        <f t="shared" ref="H25" si="5">G24+H24</f>
        <v>42000</v>
      </c>
      <c r="I25" s="42">
        <f t="shared" ref="I25" si="6">H24+I24</f>
        <v>77000</v>
      </c>
      <c r="J25" s="42"/>
      <c r="K25" s="42"/>
      <c r="L25" s="42"/>
      <c r="M25" s="42"/>
      <c r="N25" s="42"/>
      <c r="O25" s="42"/>
    </row>
    <row r="26" spans="2:16" ht="16.8" thickBot="1" x14ac:dyDescent="0.35">
      <c r="D26" s="1" t="s">
        <v>0</v>
      </c>
    </row>
    <row r="27" spans="2:16" ht="16.8" thickBot="1" x14ac:dyDescent="0.35">
      <c r="B27" s="34" t="s">
        <v>7</v>
      </c>
      <c r="C27" s="62">
        <v>350000</v>
      </c>
      <c r="D27" s="1"/>
    </row>
    <row r="28" spans="2:16" ht="16.8" thickBot="1" x14ac:dyDescent="0.35">
      <c r="C28" s="13"/>
      <c r="D28" s="1"/>
    </row>
    <row r="29" spans="2:16" x14ac:dyDescent="0.3">
      <c r="B29" s="30" t="s">
        <v>20</v>
      </c>
      <c r="C29" s="31" t="s">
        <v>6</v>
      </c>
    </row>
    <row r="30" spans="2:16" ht="18.75" customHeight="1" x14ac:dyDescent="0.3">
      <c r="B30" s="29" t="s">
        <v>21</v>
      </c>
      <c r="C30" s="42">
        <f>E25-E22</f>
        <v>-30250</v>
      </c>
      <c r="D30" s="7"/>
      <c r="E30" s="7"/>
    </row>
    <row r="31" spans="2:16" ht="30.75" customHeight="1" x14ac:dyDescent="0.3">
      <c r="B31" s="29" t="s">
        <v>33</v>
      </c>
      <c r="C31" s="45">
        <f>E25-E20</f>
        <v>-36750</v>
      </c>
    </row>
    <row r="32" spans="2:16" ht="33" customHeight="1" x14ac:dyDescent="0.3">
      <c r="B32" s="29" t="s">
        <v>34</v>
      </c>
      <c r="C32" s="14">
        <f>(E25/E22)</f>
        <v>0.34239130434782611</v>
      </c>
    </row>
    <row r="33" spans="2:3" ht="36" customHeight="1" x14ac:dyDescent="0.3">
      <c r="B33" s="29" t="s">
        <v>22</v>
      </c>
      <c r="C33" s="14">
        <f>E25/E20</f>
        <v>0.3</v>
      </c>
    </row>
    <row r="34" spans="2:3" ht="35.25" customHeight="1" thickBot="1" x14ac:dyDescent="0.35">
      <c r="B34" s="32" t="s">
        <v>35</v>
      </c>
      <c r="C34" s="33">
        <f>C27/C32</f>
        <v>1022222.2222222221</v>
      </c>
    </row>
    <row r="37" spans="2:3" x14ac:dyDescent="0.3">
      <c r="B37" s="61" t="s">
        <v>26</v>
      </c>
    </row>
    <row r="38" spans="2:3" x14ac:dyDescent="0.3">
      <c r="B38" s="61" t="s">
        <v>25</v>
      </c>
    </row>
    <row r="39" spans="2:3" x14ac:dyDescent="0.3">
      <c r="B39" s="61"/>
    </row>
    <row r="40" spans="2:3" x14ac:dyDescent="0.3">
      <c r="B40" s="61" t="s">
        <v>27</v>
      </c>
    </row>
    <row r="41" spans="2:3" x14ac:dyDescent="0.3">
      <c r="B41" s="61" t="s">
        <v>28</v>
      </c>
    </row>
    <row r="42" spans="2:3" x14ac:dyDescent="0.3">
      <c r="B42" s="61"/>
    </row>
    <row r="43" spans="2:3" x14ac:dyDescent="0.3">
      <c r="B43" s="61" t="s">
        <v>29</v>
      </c>
    </row>
    <row r="44" spans="2:3" x14ac:dyDescent="0.3">
      <c r="B44" s="61" t="s">
        <v>30</v>
      </c>
    </row>
    <row r="45" spans="2:3" x14ac:dyDescent="0.3">
      <c r="B45" s="61"/>
    </row>
    <row r="46" spans="2:3" x14ac:dyDescent="0.3">
      <c r="B46" s="61" t="s">
        <v>31</v>
      </c>
    </row>
    <row r="47" spans="2:3" x14ac:dyDescent="0.3">
      <c r="B47" s="61" t="s">
        <v>32</v>
      </c>
    </row>
  </sheetData>
  <mergeCells count="6">
    <mergeCell ref="D16:O16"/>
    <mergeCell ref="N6:O6"/>
    <mergeCell ref="N7:O7"/>
    <mergeCell ref="N14:O14"/>
    <mergeCell ref="N15:O15"/>
    <mergeCell ref="B8:O8"/>
  </mergeCells>
  <phoneticPr fontId="13" type="noConversion"/>
  <conditionalFormatting sqref="C30:C31">
    <cfRule type="expression" dxfId="42" priority="1">
      <formula>IF(ROUND(($N$14-$N$7)/30,0)=1,1,0)</formula>
    </cfRule>
  </conditionalFormatting>
  <conditionalFormatting sqref="D18:D25">
    <cfRule type="expression" dxfId="41" priority="7">
      <formula>IF(ROUND(($N$14-$N$7)/30,0)=1,1,0)</formula>
    </cfRule>
  </conditionalFormatting>
  <conditionalFormatting sqref="E18:E22 F22:I22">
    <cfRule type="expression" dxfId="40" priority="28">
      <formula>IF(ROUND(($N$14-$N$7)/30,0)=2,1,0)</formula>
    </cfRule>
  </conditionalFormatting>
  <conditionalFormatting sqref="E23:E24 F24:I24">
    <cfRule type="expression" dxfId="39" priority="2">
      <formula>IF(ROUND(($N$14-$N$7)/30,0)=1,1,0)</formula>
    </cfRule>
  </conditionalFormatting>
  <conditionalFormatting sqref="E25:I25">
    <cfRule type="expression" dxfId="38" priority="12">
      <formula>IF(ROUND(($N$14-$N$7)/30,0)=2,1,0)</formula>
    </cfRule>
  </conditionalFormatting>
  <conditionalFormatting sqref="F18:F21 F23">
    <cfRule type="expression" dxfId="37" priority="26">
      <formula>IF(ROUND(($N$14-$N$7)/30,0)=3,1,0)</formula>
    </cfRule>
  </conditionalFormatting>
  <conditionalFormatting sqref="G18:G21 G23">
    <cfRule type="expression" dxfId="36" priority="25">
      <formula>IF(ROUND(($N$14-$N$7)/30,0)=4,1,0)</formula>
    </cfRule>
  </conditionalFormatting>
  <conditionalFormatting sqref="H18:H21 H23">
    <cfRule type="expression" dxfId="35" priority="24">
      <formula>IF(ROUND(($N$14-$N$7)/30,0)=5,1,0)</formula>
    </cfRule>
  </conditionalFormatting>
  <conditionalFormatting sqref="J24">
    <cfRule type="expression" dxfId="33" priority="15">
      <formula>IF(ROUND(($N$14-$N$7)/30,0)=1,1,0)</formula>
    </cfRule>
  </conditionalFormatting>
  <conditionalFormatting sqref="I18:I21 I23">
    <cfRule type="expression" dxfId="32" priority="23">
      <formula>IF(ROUND(($N$14-$N$7)/30,0)=6,1,0)</formula>
    </cfRule>
  </conditionalFormatting>
  <conditionalFormatting sqref="J18:J23">
    <cfRule type="expression" dxfId="30" priority="22">
      <formula>IF(ROUND(($N$14-$N$7)/30,0)=7,1,0)</formula>
    </cfRule>
  </conditionalFormatting>
  <conditionalFormatting sqref="K18:K21">
    <cfRule type="expression" dxfId="29" priority="33">
      <formula>IF(ROUND(($N$14-$N$7)/30,0)=8,1,0)</formula>
    </cfRule>
  </conditionalFormatting>
  <conditionalFormatting sqref="K23">
    <cfRule type="expression" dxfId="28" priority="49">
      <formula>IF(ROUND(($N$14-$N$7)/30,0)=8,1,0)</formula>
    </cfRule>
  </conditionalFormatting>
  <conditionalFormatting sqref="K22:O22">
    <cfRule type="expression" dxfId="27" priority="5">
      <formula>IF(ROUND(($N$14-$N$7)/30,0)=7,1,0)</formula>
    </cfRule>
  </conditionalFormatting>
  <conditionalFormatting sqref="K24:O24">
    <cfRule type="expression" dxfId="26" priority="14">
      <formula>IF(ROUND(($N$14-$N$7)/30,0)=1,1,0)</formula>
    </cfRule>
  </conditionalFormatting>
  <conditionalFormatting sqref="K25:O25">
    <cfRule type="expression" dxfId="25" priority="6">
      <formula>IF(ROUND(($N$14-$N$7)/30,0)=7,1,0)</formula>
    </cfRule>
  </conditionalFormatting>
  <conditionalFormatting sqref="L18:L21">
    <cfRule type="expression" dxfId="24" priority="32">
      <formula>IF(ROUND(($N$14-$N$7)/30,0)=9,1,0)</formula>
    </cfRule>
  </conditionalFormatting>
  <conditionalFormatting sqref="L23">
    <cfRule type="expression" dxfId="23" priority="50">
      <formula>IF(ROUND(($N$14-$N$7)/30,0)=9,1,0)</formula>
    </cfRule>
  </conditionalFormatting>
  <conditionalFormatting sqref="M18:M21">
    <cfRule type="expression" dxfId="22" priority="31">
      <formula>IF(ROUND(($N$14-$N$7)/30,0)=10,1,0)</formula>
    </cfRule>
  </conditionalFormatting>
  <conditionalFormatting sqref="M23">
    <cfRule type="expression" dxfId="21" priority="51">
      <formula>IF(ROUND(($N$14-$N$7)/30,0)=10,1,0)</formula>
    </cfRule>
  </conditionalFormatting>
  <conditionalFormatting sqref="N6:N7 N9:N11 M12 N13:N15">
    <cfRule type="expression" dxfId="20" priority="44">
      <formula>IF(ROUND(($N$14-$N$7)/30,0)=3,1,0)</formula>
    </cfRule>
  </conditionalFormatting>
  <conditionalFormatting sqref="N18:N21">
    <cfRule type="expression" dxfId="19" priority="30">
      <formula>IF(ROUND(($N$14-$N$7)/30,0)=11,1,0)</formula>
    </cfRule>
  </conditionalFormatting>
  <conditionalFormatting sqref="N23">
    <cfRule type="expression" dxfId="18" priority="52">
      <formula>IF(ROUND(($N$14-$N$7)/30,0)=11,1,0)</formula>
    </cfRule>
  </conditionalFormatting>
  <conditionalFormatting sqref="O18:O21 O23">
    <cfRule type="expression" dxfId="17" priority="53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ISAAC FRANCISCO RIOS MARTINEZ</cp:lastModifiedBy>
  <cp:lastPrinted>2012-05-23T16:28:30Z</cp:lastPrinted>
  <dcterms:created xsi:type="dcterms:W3CDTF">2011-05-27T04:00:15Z</dcterms:created>
  <dcterms:modified xsi:type="dcterms:W3CDTF">2026-03-25T16:07:16Z</dcterms:modified>
</cp:coreProperties>
</file>