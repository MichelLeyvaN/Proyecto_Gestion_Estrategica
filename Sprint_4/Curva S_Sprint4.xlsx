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13_ncr:1_{478C7285-A322-4F95-9193-CA4222A5732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talle de Costos" sheetId="11" r:id="rId1"/>
    <sheet name="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8" i="4" l="1"/>
  <c r="J18" i="4"/>
  <c r="H18" i="4" l="1"/>
  <c r="I18" i="4"/>
  <c r="F18" i="4"/>
  <c r="G18" i="4" s="1"/>
  <c r="E18" i="4"/>
  <c r="D18" i="4"/>
  <c r="C48" i="11"/>
  <c r="D48" i="11"/>
  <c r="E48" i="11"/>
  <c r="F48" i="11"/>
  <c r="G48" i="11"/>
  <c r="H48" i="11"/>
  <c r="C45" i="11"/>
  <c r="G45" i="11"/>
  <c r="BE45" i="11"/>
  <c r="BF45" i="11"/>
  <c r="BG45" i="11"/>
  <c r="BH45" i="11"/>
  <c r="BI45" i="11"/>
  <c r="BJ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H45" i="11"/>
  <c r="I15" i="4" s="1"/>
  <c r="I45" i="11"/>
  <c r="J15" i="4" s="1"/>
  <c r="J45" i="11"/>
  <c r="K15" i="4" s="1"/>
  <c r="K45" i="11"/>
  <c r="L15" i="4" s="1"/>
  <c r="L45" i="11"/>
  <c r="M15" i="4" s="1"/>
  <c r="M45" i="11"/>
  <c r="N15" i="4" s="1"/>
  <c r="N45" i="11"/>
  <c r="O15" i="4" s="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D45" i="11"/>
  <c r="E15" i="4" s="1"/>
  <c r="E45" i="11"/>
  <c r="F15" i="4" s="1"/>
  <c r="F45" i="11"/>
  <c r="G15" i="4" s="1"/>
  <c r="B48" i="11" l="1"/>
  <c r="H15" i="4"/>
  <c r="D15" i="4"/>
  <c r="D16" i="4" s="1"/>
  <c r="E16" i="4" l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<sst xmlns="http://schemas.openxmlformats.org/spreadsheetml/2006/main" count="59" uniqueCount="56">
  <si>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</si>
  <si>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</si>
  <si>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</si>
  <si>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</si>
  <si>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</si>
  <si>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</si>
  <si>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</si>
  <si>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</si>
  <si>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</si>
  <si>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</si>
  <si>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Costos por paquete de trabajo</t>
  </si>
  <si>
    <t>Paquete de Trabajo</t>
  </si>
  <si>
    <t>TOTAL</t>
  </si>
  <si>
    <t xml:space="preserve">Planificació de estartegias de identificación y retención de clientes para generación de marketing </t>
  </si>
  <si>
    <t>LTV_str</t>
  </si>
  <si>
    <t>Semanas</t>
  </si>
  <si>
    <t>Inicio y comprensión del proyecto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</si>
  <si>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</si>
  <si>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</si>
  <si>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</si>
  <si>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</si>
  <si>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</si>
  <si>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</si>
  <si>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</si>
  <si>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</si>
  <si>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</si>
  <si>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</si>
  <si>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</si>
  <si>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</si>
  <si>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</si>
  <si>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>Feature Engineering y preparación para CLV</t>
  </si>
  <si>
    <t xml:space="preserve">Definición de ventana temporal de observación y predicción </t>
  </si>
  <si>
    <t>Preparación del dataset para modelos CLV</t>
  </si>
  <si>
    <t>Separación de datos (train/validación)</t>
  </si>
  <si>
    <t>Creación de variables adicionales</t>
  </si>
  <si>
    <t xml:space="preserve">Modelado del Customer Lifetime Value </t>
  </si>
  <si>
    <t>Segmentación basada en CLV</t>
  </si>
  <si>
    <t>Implementación del modelo BG/NBD</t>
  </si>
  <si>
    <t>Implementación del modelo Gamma-Gamma</t>
  </si>
  <si>
    <t>Entrenamiento y ajuste de modelos CLV</t>
  </si>
  <si>
    <t>Evaluación y validación del modelo CLV</t>
  </si>
  <si>
    <t>Estrategias de marketing y ROI</t>
  </si>
  <si>
    <t>Predicción de CLV por cliente</t>
  </si>
  <si>
    <t>Segmentación de clientes por niveles de CLV</t>
  </si>
  <si>
    <t>Cruce de segmentación CLV + RFM</t>
  </si>
  <si>
    <t xml:space="preserve">Identificaci+ón swl 20% de clientes de mayor valor </t>
  </si>
  <si>
    <t>Definición de estrategias por segmento de clientes</t>
  </si>
  <si>
    <t xml:space="preserve">Asignación de presupuesto de marketing por segmento </t>
  </si>
  <si>
    <t xml:space="preserve">Simulación de impacto y ROI de las estrategias </t>
  </si>
  <si>
    <t>Elaboración de visualizaciones y dashboards finales</t>
  </si>
  <si>
    <t xml:space="preserve">Documentación técnica y cierre del proyecto </t>
  </si>
  <si>
    <t xml:space="preserve">Preparación del reporte y presentación ejecutiva </t>
  </si>
  <si>
    <t>16 de febrero de 2026</t>
  </si>
  <si>
    <t>Costos por fases</t>
  </si>
  <si>
    <t>27 de febrero de 2026</t>
  </si>
  <si>
    <t>25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</si>
</sst>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0" fillId="0" borderId="1" xfId="0" applyBorder="1"/>
    <xf numFmtId="0" fontId="10" fillId="0" borderId="1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4" fillId="4" borderId="0" xfId="1" applyFont="1" applyFill="1" applyProtection="1"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9" fillId="5" borderId="19" xfId="1" applyFont="1" applyFill="1" applyBorder="1" applyAlignment="1" applyProtection="1">
      <alignment vertical="top"/>
      <protection locked="0"/>
    </xf>
    <xf numFmtId="44" fontId="9" fillId="5" borderId="19" xfId="1" applyFont="1" applyFill="1" applyBorder="1" applyAlignment="1" applyProtection="1">
      <alignment horizontal="right"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4" fillId="4" borderId="1" xfId="1" applyFont="1" applyFill="1" applyBorder="1" applyProtection="1">
      <protection locked="0"/>
    </xf>
    <xf numFmtId="44" fontId="4" fillId="6" borderId="24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5" borderId="23" xfId="0" applyFont="1" applyFill="1" applyBorder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9" fillId="5" borderId="20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S'!$D$16:$O$16</c:f>
              <c:numCache>
                <c:formatCode>_("$"* #,##0.00_);_("$"* \(#,##0.00\);_("$"* "-"??_);_(@_)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S'!$D$18:$O$18</c:f>
              <c:numCache>
                <c:formatCode>_("$"* #,##0.00_);_("$"* \(#,##0.00\);_("$"* "-"??_);_(@_)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  <c:pt idx="4">
                  <c:v>109100</c:v>
                </c:pt>
                <c:pt idx="5">
                  <c:v>133800</c:v>
                </c:pt>
                <c:pt idx="6">
                  <c:v>168500</c:v>
                </c:pt>
                <c:pt idx="7">
                  <c:v>208750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49"/>
  <sheetViews>
    <sheetView zoomScaleNormal="100" workbookViewId="0">
      <pane xSplit="7" topLeftCell="H1" activePane="topRight" state="frozen"/>
      <selection pane="topRight" activeCell="C42" sqref="C42"/>
    </sheetView>
  </sheetViews>
  <sheetFormatPr baseColWidth="10" defaultColWidth="11.44140625" defaultRowHeight="14.4" x14ac:dyDescent="0.3"/>
  <cols>
    <col min="1" max="1" width="7.77734375" style="25" bestFit="1" customWidth="1"/>
    <col min="2" max="2" width="49" style="26" bestFit="1" customWidth="1"/>
    <col min="3" max="3" width="12" style="26" customWidth="1"/>
    <col min="4" max="4" width="11.88671875" style="26" customWidth="1"/>
    <col min="5" max="5" width="11.44140625" style="26" customWidth="1"/>
    <col min="6" max="6" width="12" style="26" customWidth="1"/>
    <col min="7" max="7" width="11.21875" style="26" customWidth="1"/>
    <col min="8" max="8" width="11.77734375" style="26" customWidth="1"/>
    <col min="9" max="9" width="11.6640625" style="26" customWidth="1"/>
    <col min="10" max="10" width="11.33203125" style="26" customWidth="1"/>
    <col min="11" max="11" width="11.21875" style="26" customWidth="1"/>
    <col min="12" max="12" width="11.6640625" style="26" customWidth="1"/>
    <col min="13" max="13" width="11.44140625" style="26" customWidth="1"/>
    <col min="14" max="14" width="12.88671875" style="26" customWidth="1"/>
    <col min="15" max="62" width="10.44140625" style="26" customWidth="1"/>
    <col min="63" max="16384" width="11.44140625" style="26"/>
  </cols>
  <sheetData>
    <row r="3" spans="1:62" ht="21" x14ac:dyDescent="0.4">
      <c r="D3" s="27" t="s">
        <v>10</v>
      </c>
    </row>
    <row r="6" spans="1:62" ht="15.6" customHeight="1" x14ac:dyDescent="0.3">
      <c r="A6" s="64" t="s">
        <v>13</v>
      </c>
      <c r="B6" s="64"/>
      <c r="C6" s="64"/>
      <c r="D6" s="64"/>
      <c r="E6" s="64"/>
      <c r="F6" s="64"/>
      <c r="G6" s="6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1:62" x14ac:dyDescent="0.3">
      <c r="A7" s="31" t="s">
        <v>14</v>
      </c>
      <c r="B7" s="31" t="s">
        <v>11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 x14ac:dyDescent="0.3">
      <c r="A8" s="69" t="s">
        <v>15</v>
      </c>
      <c r="B8" s="70"/>
      <c r="C8" s="32">
        <v>1</v>
      </c>
      <c r="D8" s="32">
        <v>2</v>
      </c>
      <c r="E8" s="32">
        <v>3</v>
      </c>
      <c r="F8" s="32">
        <v>4</v>
      </c>
      <c r="G8" s="32">
        <v>5</v>
      </c>
      <c r="H8" s="32">
        <v>6</v>
      </c>
      <c r="I8" s="32">
        <v>7</v>
      </c>
      <c r="J8" s="32">
        <v>8</v>
      </c>
      <c r="K8" s="32">
        <v>9</v>
      </c>
      <c r="L8" s="32">
        <v>10</v>
      </c>
      <c r="M8" s="32">
        <v>11</v>
      </c>
      <c r="N8" s="32">
        <v>12</v>
      </c>
      <c r="O8" s="32">
        <v>13</v>
      </c>
      <c r="P8" s="32">
        <v>14</v>
      </c>
      <c r="Q8" s="32">
        <v>15</v>
      </c>
      <c r="R8" s="32">
        <v>16</v>
      </c>
      <c r="S8" s="32">
        <v>17</v>
      </c>
      <c r="T8" s="32">
        <v>18</v>
      </c>
      <c r="U8" s="32">
        <v>19</v>
      </c>
      <c r="V8" s="32">
        <v>20</v>
      </c>
      <c r="W8" s="32">
        <v>21</v>
      </c>
      <c r="X8" s="32">
        <v>22</v>
      </c>
      <c r="Y8" s="32">
        <v>23</v>
      </c>
      <c r="Z8" s="32">
        <v>24</v>
      </c>
      <c r="AA8" s="32">
        <v>25</v>
      </c>
      <c r="AB8" s="32">
        <v>26</v>
      </c>
      <c r="AC8" s="32">
        <v>27</v>
      </c>
      <c r="AD8" s="32">
        <v>28</v>
      </c>
      <c r="AE8" s="32">
        <v>29</v>
      </c>
      <c r="AF8" s="32">
        <v>30</v>
      </c>
      <c r="AG8" s="32">
        <v>31</v>
      </c>
      <c r="AH8" s="32">
        <v>32</v>
      </c>
      <c r="AI8" s="32">
        <v>33</v>
      </c>
      <c r="AJ8" s="32">
        <v>34</v>
      </c>
      <c r="AK8" s="32">
        <v>35</v>
      </c>
      <c r="AL8" s="32">
        <v>36</v>
      </c>
      <c r="AM8" s="32">
        <v>37</v>
      </c>
      <c r="AN8" s="32">
        <v>38</v>
      </c>
      <c r="AO8" s="32">
        <v>39</v>
      </c>
      <c r="AP8" s="32">
        <v>40</v>
      </c>
      <c r="AQ8" s="32">
        <v>41</v>
      </c>
      <c r="AR8" s="32">
        <v>42</v>
      </c>
      <c r="AS8" s="32">
        <v>43</v>
      </c>
      <c r="AT8" s="32">
        <v>44</v>
      </c>
      <c r="AU8" s="32">
        <v>45</v>
      </c>
      <c r="AV8" s="32">
        <v>46</v>
      </c>
      <c r="AW8" s="32">
        <v>47</v>
      </c>
      <c r="AX8" s="32">
        <v>48</v>
      </c>
      <c r="AY8" s="32">
        <v>49</v>
      </c>
      <c r="AZ8" s="32">
        <v>50</v>
      </c>
      <c r="BA8" s="32">
        <v>51</v>
      </c>
      <c r="BB8" s="32">
        <v>52</v>
      </c>
      <c r="BC8" s="32">
        <v>53</v>
      </c>
      <c r="BD8" s="32">
        <v>54</v>
      </c>
      <c r="BE8" s="32">
        <v>55</v>
      </c>
      <c r="BF8" s="32">
        <v>56</v>
      </c>
      <c r="BG8" s="32">
        <v>57</v>
      </c>
      <c r="BH8" s="32">
        <v>58</v>
      </c>
      <c r="BI8" s="32">
        <v>59</v>
      </c>
      <c r="BJ8" s="32">
        <v>60</v>
      </c>
    </row>
    <row r="9" spans="1:62" x14ac:dyDescent="0.3">
      <c r="A9" s="65" t="s">
        <v>16</v>
      </c>
      <c r="B9" s="66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s="39" customFormat="1" x14ac:dyDescent="0.3">
      <c r="A10" s="30">
        <v>1.1000000000000001</v>
      </c>
      <c r="B10" s="34" t="s">
        <v>17</v>
      </c>
      <c r="C10" s="36">
        <v>10000</v>
      </c>
      <c r="D10" s="37"/>
      <c r="E10" s="36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</row>
    <row r="11" spans="1:62" s="39" customFormat="1" x14ac:dyDescent="0.3">
      <c r="A11" s="30">
        <v>1.2</v>
      </c>
      <c r="B11" s="34" t="s">
        <v>18</v>
      </c>
      <c r="C11" s="36">
        <v>7500</v>
      </c>
      <c r="D11" s="37"/>
      <c r="E11" s="36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</row>
    <row r="12" spans="1:62" s="39" customFormat="1" x14ac:dyDescent="0.3">
      <c r="A12" s="30">
        <v>1.3</v>
      </c>
      <c r="B12" s="34" t="s">
        <v>19</v>
      </c>
      <c r="C12" s="36">
        <v>6000</v>
      </c>
      <c r="D12" s="37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1:62" s="39" customFormat="1" x14ac:dyDescent="0.3">
      <c r="A13" s="30">
        <v>1.4</v>
      </c>
      <c r="B13" s="34" t="s">
        <v>20</v>
      </c>
      <c r="C13" s="37">
        <v>12000</v>
      </c>
      <c r="D13" s="37"/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2" s="39" customFormat="1" x14ac:dyDescent="0.3">
      <c r="A14" s="30">
        <v>1.5</v>
      </c>
      <c r="B14" s="34" t="s">
        <v>21</v>
      </c>
      <c r="C14" s="36"/>
      <c r="D14" s="37">
        <v>6000</v>
      </c>
      <c r="E14" s="36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</row>
    <row r="15" spans="1:62" s="39" customFormat="1" x14ac:dyDescent="0.3">
      <c r="A15" s="30">
        <v>1.6</v>
      </c>
      <c r="B15" s="34" t="s">
        <v>22</v>
      </c>
      <c r="C15" s="36"/>
      <c r="D15" s="36">
        <v>6000</v>
      </c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1:62" s="39" customFormat="1" x14ac:dyDescent="0.3">
      <c r="A16" s="30">
        <v>1.7</v>
      </c>
      <c r="B16" s="34" t="s">
        <v>23</v>
      </c>
      <c r="C16" s="36"/>
      <c r="D16" s="36">
        <v>2500</v>
      </c>
      <c r="E16" s="36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</row>
    <row r="17" spans="1:62" s="39" customFormat="1" x14ac:dyDescent="0.3">
      <c r="A17" s="30">
        <v>1.8</v>
      </c>
      <c r="B17" s="34" t="s">
        <v>24</v>
      </c>
      <c r="C17" s="36"/>
      <c r="D17" s="38">
        <v>2500</v>
      </c>
      <c r="E17" s="36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</row>
    <row r="18" spans="1:62" s="39" customFormat="1" x14ac:dyDescent="0.3">
      <c r="A18" s="71" t="s">
        <v>25</v>
      </c>
      <c r="B18" s="72"/>
      <c r="C18" s="40"/>
      <c r="D18" s="41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</row>
    <row r="19" spans="1:62" s="39" customFormat="1" x14ac:dyDescent="0.3">
      <c r="A19" s="30">
        <v>2.1</v>
      </c>
      <c r="B19" s="34" t="s">
        <v>26</v>
      </c>
      <c r="C19" s="36"/>
      <c r="D19" s="37"/>
      <c r="E19" s="38">
        <v>5000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</row>
    <row r="20" spans="1:62" s="39" customFormat="1" x14ac:dyDescent="0.3">
      <c r="A20" s="30">
        <v>2.2000000000000002</v>
      </c>
      <c r="B20" s="34" t="s">
        <v>27</v>
      </c>
      <c r="C20" s="36"/>
      <c r="D20" s="37"/>
      <c r="E20" s="38">
        <v>15000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</row>
    <row r="21" spans="1:62" s="39" customFormat="1" x14ac:dyDescent="0.3">
      <c r="A21" s="30">
        <v>2.2999999999999998</v>
      </c>
      <c r="B21" s="34" t="s">
        <v>28</v>
      </c>
      <c r="C21" s="36"/>
      <c r="D21" s="37"/>
      <c r="E21" s="38"/>
      <c r="F21" s="38">
        <v>12000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</row>
    <row r="22" spans="1:62" s="39" customFormat="1" x14ac:dyDescent="0.3">
      <c r="A22" s="30">
        <v>2.4</v>
      </c>
      <c r="B22" s="34" t="s">
        <v>29</v>
      </c>
      <c r="C22" s="36"/>
      <c r="D22" s="37"/>
      <c r="E22" s="38"/>
      <c r="F22" s="38">
        <v>10000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</row>
    <row r="23" spans="1:62" s="39" customFormat="1" x14ac:dyDescent="0.3">
      <c r="A23" s="65" t="s">
        <v>30</v>
      </c>
      <c r="B23" s="66"/>
      <c r="C23" s="40"/>
      <c r="D23" s="41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</row>
    <row r="24" spans="1:62" s="39" customFormat="1" x14ac:dyDescent="0.3">
      <c r="A24" s="30">
        <v>3.1</v>
      </c>
      <c r="B24" s="34" t="s">
        <v>31</v>
      </c>
      <c r="C24" s="36"/>
      <c r="D24" s="37"/>
      <c r="E24" s="36"/>
      <c r="F24" s="38"/>
      <c r="G24" s="38">
        <v>8000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s="39" customFormat="1" x14ac:dyDescent="0.3">
      <c r="A25" s="30">
        <v>3.2</v>
      </c>
      <c r="B25" s="34" t="s">
        <v>34</v>
      </c>
      <c r="C25" s="36"/>
      <c r="D25" s="37"/>
      <c r="E25" s="36"/>
      <c r="F25" s="38"/>
      <c r="G25" s="38">
        <v>18000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s="39" customFormat="1" x14ac:dyDescent="0.3">
      <c r="A26" s="30">
        <v>3.3</v>
      </c>
      <c r="B26" s="34" t="s">
        <v>32</v>
      </c>
      <c r="C26" s="36"/>
      <c r="D26" s="37"/>
      <c r="E26" s="36"/>
      <c r="F26" s="38"/>
      <c r="G26" s="38"/>
      <c r="H26" s="38">
        <v>14500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s="39" customFormat="1" x14ac:dyDescent="0.3">
      <c r="A27" s="30">
        <v>3.4</v>
      </c>
      <c r="B27" s="34" t="s">
        <v>33</v>
      </c>
      <c r="C27" s="36"/>
      <c r="D27" s="37"/>
      <c r="E27" s="36"/>
      <c r="F27" s="38"/>
      <c r="G27" s="38"/>
      <c r="H27" s="38">
        <v>12000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s="39" customFormat="1" x14ac:dyDescent="0.3">
      <c r="A28" s="65" t="s">
        <v>35</v>
      </c>
      <c r="B28" s="66"/>
      <c r="C28" s="40"/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</row>
    <row r="29" spans="1:62" s="39" customFormat="1" x14ac:dyDescent="0.3">
      <c r="A29" s="30">
        <v>4.0999999999999996</v>
      </c>
      <c r="B29" s="34" t="s">
        <v>37</v>
      </c>
      <c r="C29" s="36"/>
      <c r="D29" s="37"/>
      <c r="E29" s="36"/>
      <c r="F29" s="38"/>
      <c r="G29" s="38"/>
      <c r="H29" s="38"/>
      <c r="I29" s="38">
        <v>20000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s="39" customFormat="1" x14ac:dyDescent="0.3">
      <c r="A30" s="30">
        <v>4.2</v>
      </c>
      <c r="B30" s="34" t="s">
        <v>38</v>
      </c>
      <c r="C30" s="36"/>
      <c r="D30" s="37"/>
      <c r="E30" s="36"/>
      <c r="F30" s="38"/>
      <c r="G30" s="38"/>
      <c r="H30" s="38"/>
      <c r="I30" s="38">
        <v>18000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s="39" customFormat="1" x14ac:dyDescent="0.3">
      <c r="A31" s="30">
        <v>4.3</v>
      </c>
      <c r="B31" s="34" t="s">
        <v>39</v>
      </c>
      <c r="C31" s="36"/>
      <c r="D31" s="37"/>
      <c r="E31" s="36"/>
      <c r="F31" s="38"/>
      <c r="G31" s="38"/>
      <c r="H31" s="38"/>
      <c r="I31" s="38"/>
      <c r="J31" s="38">
        <v>22500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s="39" customFormat="1" x14ac:dyDescent="0.3">
      <c r="A32" s="30">
        <v>4.4000000000000004</v>
      </c>
      <c r="B32" s="34" t="s">
        <v>40</v>
      </c>
      <c r="C32" s="36"/>
      <c r="D32" s="37"/>
      <c r="E32" s="36"/>
      <c r="F32" s="38"/>
      <c r="G32" s="38"/>
      <c r="H32" s="38"/>
      <c r="I32" s="38"/>
      <c r="J32" s="38">
        <v>20000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s="39" customFormat="1" x14ac:dyDescent="0.3">
      <c r="A33" s="67" t="s">
        <v>36</v>
      </c>
      <c r="B33" s="68"/>
      <c r="C33" s="42"/>
      <c r="D33" s="43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</row>
    <row r="34" spans="1:62" s="47" customFormat="1" x14ac:dyDescent="0.3">
      <c r="A34" s="35">
        <v>5.0999999999999996</v>
      </c>
      <c r="B34" s="34" t="s">
        <v>42</v>
      </c>
      <c r="C34" s="44"/>
      <c r="D34" s="45"/>
      <c r="E34" s="44"/>
      <c r="F34" s="46"/>
      <c r="G34" s="46"/>
      <c r="H34" s="46"/>
      <c r="I34" s="46"/>
      <c r="J34" s="46"/>
      <c r="K34" s="46">
        <v>10000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</row>
    <row r="35" spans="1:62" s="47" customFormat="1" x14ac:dyDescent="0.3">
      <c r="A35" s="35">
        <v>5.2</v>
      </c>
      <c r="B35" s="34" t="s">
        <v>43</v>
      </c>
      <c r="C35" s="44"/>
      <c r="D35" s="45"/>
      <c r="E35" s="44"/>
      <c r="F35" s="46"/>
      <c r="G35" s="46"/>
      <c r="H35" s="46"/>
      <c r="I35" s="46"/>
      <c r="J35" s="46"/>
      <c r="K35" s="46">
        <v>9000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</row>
    <row r="36" spans="1:62" s="47" customFormat="1" x14ac:dyDescent="0.3">
      <c r="A36" s="35">
        <v>5.3</v>
      </c>
      <c r="B36" s="34" t="s">
        <v>44</v>
      </c>
      <c r="C36" s="44"/>
      <c r="D36" s="45"/>
      <c r="E36" s="44"/>
      <c r="F36" s="46"/>
      <c r="G36" s="46"/>
      <c r="H36" s="46"/>
      <c r="I36" s="46"/>
      <c r="J36" s="46"/>
      <c r="K36" s="46"/>
      <c r="L36" s="46">
        <v>7000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</row>
    <row r="37" spans="1:62" s="47" customFormat="1" x14ac:dyDescent="0.3">
      <c r="A37" s="35">
        <v>5.4</v>
      </c>
      <c r="B37" s="34" t="s">
        <v>45</v>
      </c>
      <c r="C37" s="44"/>
      <c r="D37" s="45"/>
      <c r="E37" s="44"/>
      <c r="F37" s="46"/>
      <c r="G37" s="46"/>
      <c r="H37" s="46"/>
      <c r="I37" s="46"/>
      <c r="J37" s="46"/>
      <c r="K37" s="46"/>
      <c r="L37" s="46">
        <v>9000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</row>
    <row r="38" spans="1:62" s="39" customFormat="1" x14ac:dyDescent="0.3">
      <c r="A38" s="67" t="s">
        <v>41</v>
      </c>
      <c r="B38" s="68"/>
      <c r="C38" s="42"/>
      <c r="D38" s="43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</row>
    <row r="39" spans="1:62" s="47" customFormat="1" x14ac:dyDescent="0.3">
      <c r="A39" s="35">
        <v>6.1</v>
      </c>
      <c r="B39" s="34" t="s">
        <v>46</v>
      </c>
      <c r="C39" s="44"/>
      <c r="D39" s="45"/>
      <c r="E39" s="44"/>
      <c r="F39" s="46"/>
      <c r="G39" s="46"/>
      <c r="H39" s="46"/>
      <c r="I39" s="46"/>
      <c r="J39" s="46"/>
      <c r="K39" s="46"/>
      <c r="L39" s="46"/>
      <c r="M39" s="46">
        <v>18000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</row>
    <row r="40" spans="1:62" s="47" customFormat="1" x14ac:dyDescent="0.3">
      <c r="A40" s="35">
        <v>6.2</v>
      </c>
      <c r="B40" s="34" t="s">
        <v>47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>
        <v>15000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</row>
    <row r="41" spans="1:62" s="47" customFormat="1" x14ac:dyDescent="0.3">
      <c r="A41" s="35">
        <v>6.3</v>
      </c>
      <c r="B41" s="34" t="s">
        <v>48</v>
      </c>
      <c r="C41" s="44"/>
      <c r="D41" s="45"/>
      <c r="E41" s="44"/>
      <c r="F41" s="46"/>
      <c r="G41" s="46"/>
      <c r="H41" s="46"/>
      <c r="I41" s="46"/>
      <c r="J41" s="46"/>
      <c r="K41" s="46"/>
      <c r="L41" s="46"/>
      <c r="M41" s="46">
        <v>20000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</row>
    <row r="42" spans="1:62" s="47" customFormat="1" x14ac:dyDescent="0.3">
      <c r="A42" s="35">
        <v>6.4</v>
      </c>
      <c r="B42" s="34" t="s">
        <v>49</v>
      </c>
      <c r="C42" s="44"/>
      <c r="D42" s="45"/>
      <c r="E42" s="44"/>
      <c r="F42" s="46"/>
      <c r="G42" s="46"/>
      <c r="H42" s="46"/>
      <c r="I42" s="46"/>
      <c r="J42" s="46"/>
      <c r="K42" s="46"/>
      <c r="L42" s="46"/>
      <c r="M42" s="46"/>
      <c r="N42" s="46">
        <v>14500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</row>
    <row r="43" spans="1:62" s="47" customFormat="1" x14ac:dyDescent="0.3">
      <c r="A43" s="35">
        <v>6.5</v>
      </c>
      <c r="B43" s="34" t="s">
        <v>51</v>
      </c>
      <c r="C43" s="44"/>
      <c r="D43" s="45"/>
      <c r="E43" s="44"/>
      <c r="F43" s="46"/>
      <c r="G43" s="46"/>
      <c r="H43" s="46"/>
      <c r="I43" s="46"/>
      <c r="J43" s="46"/>
      <c r="K43" s="46"/>
      <c r="L43" s="46"/>
      <c r="M43" s="46"/>
      <c r="N43" s="46">
        <v>12000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</row>
    <row r="44" spans="1:62" s="47" customFormat="1" x14ac:dyDescent="0.3">
      <c r="A44" s="35">
        <v>6.6</v>
      </c>
      <c r="B44" s="34" t="s">
        <v>50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>
        <v>8000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</row>
    <row r="45" spans="1:62" s="39" customFormat="1" x14ac:dyDescent="0.3">
      <c r="A45" s="25"/>
      <c r="B45" s="33" t="s">
        <v>12</v>
      </c>
      <c r="C45" s="48">
        <f>SUM(C10:C44)</f>
        <v>35500</v>
      </c>
      <c r="D45" s="48">
        <f t="shared" ref="D45:AH45" si="0">SUM(D10:D44)</f>
        <v>17000</v>
      </c>
      <c r="E45" s="48">
        <f t="shared" si="0"/>
        <v>20000</v>
      </c>
      <c r="F45" s="48">
        <f t="shared" si="0"/>
        <v>22000</v>
      </c>
      <c r="G45" s="48">
        <f>SUM(G10:G44)</f>
        <v>26000</v>
      </c>
      <c r="H45" s="48">
        <f t="shared" si="0"/>
        <v>26500</v>
      </c>
      <c r="I45" s="48">
        <f t="shared" si="0"/>
        <v>38000</v>
      </c>
      <c r="J45" s="48">
        <f t="shared" si="0"/>
        <v>42500</v>
      </c>
      <c r="K45" s="48">
        <f t="shared" si="0"/>
        <v>19000</v>
      </c>
      <c r="L45" s="48">
        <f t="shared" si="0"/>
        <v>16000</v>
      </c>
      <c r="M45" s="48">
        <f t="shared" si="0"/>
        <v>53000</v>
      </c>
      <c r="N45" s="48">
        <f t="shared" si="0"/>
        <v>34500</v>
      </c>
      <c r="O45" s="48">
        <f t="shared" si="0"/>
        <v>0</v>
      </c>
      <c r="P45" s="48">
        <f t="shared" si="0"/>
        <v>0</v>
      </c>
      <c r="Q45" s="48">
        <f t="shared" si="0"/>
        <v>0</v>
      </c>
      <c r="R45" s="48">
        <f t="shared" si="0"/>
        <v>0</v>
      </c>
      <c r="S45" s="48">
        <f t="shared" si="0"/>
        <v>0</v>
      </c>
      <c r="T45" s="48">
        <f t="shared" si="0"/>
        <v>0</v>
      </c>
      <c r="U45" s="48">
        <f t="shared" si="0"/>
        <v>0</v>
      </c>
      <c r="V45" s="48">
        <f t="shared" si="0"/>
        <v>0</v>
      </c>
      <c r="W45" s="48">
        <f t="shared" si="0"/>
        <v>0</v>
      </c>
      <c r="X45" s="48">
        <f t="shared" si="0"/>
        <v>0</v>
      </c>
      <c r="Y45" s="48">
        <f t="shared" si="0"/>
        <v>0</v>
      </c>
      <c r="Z45" s="48">
        <f t="shared" si="0"/>
        <v>0</v>
      </c>
      <c r="AA45" s="48">
        <f t="shared" si="0"/>
        <v>0</v>
      </c>
      <c r="AB45" s="48">
        <f t="shared" si="0"/>
        <v>0</v>
      </c>
      <c r="AC45" s="48">
        <f t="shared" si="0"/>
        <v>0</v>
      </c>
      <c r="AD45" s="48">
        <f t="shared" si="0"/>
        <v>0</v>
      </c>
      <c r="AE45" s="48">
        <f t="shared" si="0"/>
        <v>0</v>
      </c>
      <c r="AF45" s="48">
        <f t="shared" si="0"/>
        <v>0</v>
      </c>
      <c r="AG45" s="48">
        <f t="shared" si="0"/>
        <v>0</v>
      </c>
      <c r="AH45" s="48">
        <f t="shared" si="0"/>
        <v>0</v>
      </c>
      <c r="AI45" s="48">
        <f t="shared" ref="AI45:BJ45" si="1">SUM(AI10:AI44)</f>
        <v>0</v>
      </c>
      <c r="AJ45" s="48">
        <f t="shared" si="1"/>
        <v>0</v>
      </c>
      <c r="AK45" s="48">
        <f t="shared" si="1"/>
        <v>0</v>
      </c>
      <c r="AL45" s="48">
        <f t="shared" si="1"/>
        <v>0</v>
      </c>
      <c r="AM45" s="48">
        <f t="shared" si="1"/>
        <v>0</v>
      </c>
      <c r="AN45" s="48">
        <f t="shared" si="1"/>
        <v>0</v>
      </c>
      <c r="AO45" s="48">
        <f t="shared" si="1"/>
        <v>0</v>
      </c>
      <c r="AP45" s="48">
        <f t="shared" si="1"/>
        <v>0</v>
      </c>
      <c r="AQ45" s="48">
        <f t="shared" si="1"/>
        <v>0</v>
      </c>
      <c r="AR45" s="48">
        <f t="shared" si="1"/>
        <v>0</v>
      </c>
      <c r="AS45" s="48">
        <f t="shared" si="1"/>
        <v>0</v>
      </c>
      <c r="AT45" s="48">
        <f t="shared" si="1"/>
        <v>0</v>
      </c>
      <c r="AU45" s="48">
        <f t="shared" si="1"/>
        <v>0</v>
      </c>
      <c r="AV45" s="48">
        <f t="shared" si="1"/>
        <v>0</v>
      </c>
      <c r="AW45" s="48">
        <f t="shared" si="1"/>
        <v>0</v>
      </c>
      <c r="AX45" s="48">
        <f t="shared" si="1"/>
        <v>0</v>
      </c>
      <c r="AY45" s="48">
        <f t="shared" si="1"/>
        <v>0</v>
      </c>
      <c r="AZ45" s="48">
        <f t="shared" si="1"/>
        <v>0</v>
      </c>
      <c r="BA45" s="48">
        <f t="shared" si="1"/>
        <v>0</v>
      </c>
      <c r="BB45" s="48">
        <f t="shared" si="1"/>
        <v>0</v>
      </c>
      <c r="BC45" s="48">
        <f t="shared" si="1"/>
        <v>0</v>
      </c>
      <c r="BD45" s="48">
        <f t="shared" si="1"/>
        <v>0</v>
      </c>
      <c r="BE45" s="48">
        <f t="shared" si="1"/>
        <v>0</v>
      </c>
      <c r="BF45" s="48">
        <f t="shared" si="1"/>
        <v>0</v>
      </c>
      <c r="BG45" s="48">
        <f t="shared" si="1"/>
        <v>0</v>
      </c>
      <c r="BH45" s="48">
        <f t="shared" si="1"/>
        <v>0</v>
      </c>
      <c r="BI45" s="48">
        <f t="shared" si="1"/>
        <v>0</v>
      </c>
      <c r="BJ45" s="48">
        <f t="shared" si="1"/>
        <v>0</v>
      </c>
    </row>
    <row r="46" spans="1:62" x14ac:dyDescent="0.3">
      <c r="B46" s="49"/>
    </row>
    <row r="47" spans="1:62" x14ac:dyDescent="0.3">
      <c r="C47" s="26" t="s">
        <v>53</v>
      </c>
    </row>
    <row r="48" spans="1:62" x14ac:dyDescent="0.3">
      <c r="B48" s="49">
        <f>SUM(C48:H48)</f>
        <v>350000</v>
      </c>
      <c r="C48" s="49">
        <f>SUM(C10:C13,D14:D17)</f>
        <v>52500</v>
      </c>
      <c r="D48" s="49">
        <f>SUM(E19:E20,F21:F22)</f>
        <v>42000</v>
      </c>
      <c r="E48" s="49">
        <f>SUM(G24:G25,H26:H27)</f>
        <v>52500</v>
      </c>
      <c r="F48" s="49">
        <f>SUM(I29:I30,J31:J32)</f>
        <v>80500</v>
      </c>
      <c r="G48" s="49">
        <f>SUM(K34:K35,L36:L37)</f>
        <v>35000</v>
      </c>
      <c r="H48" s="49">
        <f>SUM(M39:M41,N42:N44)</f>
        <v>87500</v>
      </c>
    </row>
    <row r="49" spans="3:8" x14ac:dyDescent="0.3">
      <c r="C49" s="26">
        <v>1</v>
      </c>
      <c r="D49" s="26">
        <v>2</v>
      </c>
      <c r="E49" s="26">
        <v>3</v>
      </c>
      <c r="F49" s="26">
        <v>4</v>
      </c>
      <c r="G49" s="26">
        <v>5</v>
      </c>
      <c r="H49" s="26">
        <v>6</v>
      </c>
    </row>
  </sheetData>
  <mergeCells count="8">
    <mergeCell ref="A6:G6"/>
    <mergeCell ref="A28:B28"/>
    <mergeCell ref="A33:B33"/>
    <mergeCell ref="A38:B38"/>
    <mergeCell ref="A8:B8"/>
    <mergeCell ref="A18:B18"/>
    <mergeCell ref="A23:B23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A3" zoomScale="82" zoomScaleNormal="90" workbookViewId="0">
      <selection activeCell="J18" sqref="J18:K18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52" t="s">
        <v>9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54" t="s">
        <v>14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2:15" x14ac:dyDescent="0.3">
      <c r="B11" s="5"/>
      <c r="C11" s="21" t="s">
        <v>5</v>
      </c>
      <c r="D11" s="57" t="s">
        <v>52</v>
      </c>
      <c r="E11" s="58"/>
      <c r="F11" s="59" t="s">
        <v>6</v>
      </c>
      <c r="G11" s="60"/>
      <c r="H11" s="54" t="s">
        <v>54</v>
      </c>
      <c r="I11" s="55"/>
      <c r="J11" s="61"/>
      <c r="K11" s="59" t="s">
        <v>4</v>
      </c>
      <c r="L11" s="60"/>
      <c r="M11" s="57" t="s">
        <v>55</v>
      </c>
      <c r="N11" s="62"/>
      <c r="O11" s="63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50" t="s">
        <v>15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Costos'!C45</f>
        <v>35500</v>
      </c>
      <c r="E15" s="1">
        <f>'Detalle de Costos'!D45</f>
        <v>17000</v>
      </c>
      <c r="F15" s="1">
        <f>'Detalle de Costos'!E45</f>
        <v>20000</v>
      </c>
      <c r="G15" s="1">
        <f>'Detalle de Costos'!F45</f>
        <v>22000</v>
      </c>
      <c r="H15" s="1">
        <f>'Detalle de Costos'!G45</f>
        <v>26000</v>
      </c>
      <c r="I15" s="1">
        <f>'Detalle de Costos'!H45</f>
        <v>26500</v>
      </c>
      <c r="J15" s="1">
        <f>'Detalle de Costos'!I45</f>
        <v>38000</v>
      </c>
      <c r="K15" s="1">
        <f>'Detalle de Costos'!J45</f>
        <v>42500</v>
      </c>
      <c r="L15" s="1">
        <f>'Detalle de Costos'!K45</f>
        <v>19000</v>
      </c>
      <c r="M15" s="1">
        <f>'Detalle de Costos'!L45</f>
        <v>16000</v>
      </c>
      <c r="N15" s="1">
        <f>'Detalle de Costos'!M45</f>
        <v>53000</v>
      </c>
      <c r="O15" s="1">
        <f>'Detalle de Costos'!N45</f>
        <v>34500</v>
      </c>
    </row>
    <row r="16" spans="2:15" x14ac:dyDescent="0.3">
      <c r="B16" s="5"/>
      <c r="C16" s="21" t="s">
        <v>7</v>
      </c>
      <c r="D16" s="17">
        <f>D15</f>
        <v>35500</v>
      </c>
      <c r="E16" s="1">
        <f>E15+D16</f>
        <v>52500</v>
      </c>
      <c r="F16" s="1">
        <f>F15+E16</f>
        <v>72500</v>
      </c>
      <c r="G16" s="1">
        <f t="shared" ref="G16:O16" si="0">G15+F16</f>
        <v>94500</v>
      </c>
      <c r="H16" s="1">
        <f t="shared" si="0"/>
        <v>120500</v>
      </c>
      <c r="I16" s="1">
        <f t="shared" si="0"/>
        <v>147000</v>
      </c>
      <c r="J16" s="1">
        <f t="shared" si="0"/>
        <v>185000</v>
      </c>
      <c r="K16" s="1">
        <f t="shared" si="0"/>
        <v>227500</v>
      </c>
      <c r="L16" s="1">
        <f t="shared" si="0"/>
        <v>246500</v>
      </c>
      <c r="M16" s="1">
        <f t="shared" si="0"/>
        <v>262500</v>
      </c>
      <c r="N16" s="1">
        <f t="shared" si="0"/>
        <v>315500</v>
      </c>
      <c r="O16" s="1">
        <f t="shared" si="0"/>
        <v>350000</v>
      </c>
    </row>
    <row r="17" spans="2:15" x14ac:dyDescent="0.3">
      <c r="B17" s="5"/>
      <c r="C17" s="21" t="s">
        <v>1</v>
      </c>
      <c r="D17" s="1">
        <v>30000</v>
      </c>
      <c r="E17" s="1">
        <v>16000</v>
      </c>
      <c r="F17" s="1">
        <v>18500</v>
      </c>
      <c r="G17" s="1">
        <v>20100</v>
      </c>
      <c r="H17" s="1">
        <v>24500</v>
      </c>
      <c r="I17" s="1">
        <v>24700</v>
      </c>
      <c r="J17" s="1">
        <v>34700</v>
      </c>
      <c r="K17" s="1">
        <v>40250</v>
      </c>
      <c r="L17" s="1"/>
      <c r="M17" s="1"/>
      <c r="N17" s="1"/>
      <c r="O17" s="16"/>
    </row>
    <row r="18" spans="2:15" x14ac:dyDescent="0.3">
      <c r="B18" s="5"/>
      <c r="C18" s="21" t="s">
        <v>8</v>
      </c>
      <c r="D18" s="1">
        <f>D17</f>
        <v>30000</v>
      </c>
      <c r="E18" s="1">
        <f>D18+E17</f>
        <v>46000</v>
      </c>
      <c r="F18" s="1">
        <f t="shared" ref="F18:G18" si="1">E18+F17</f>
        <v>64500</v>
      </c>
      <c r="G18" s="1">
        <f t="shared" si="1"/>
        <v>84600</v>
      </c>
      <c r="H18" s="1">
        <f t="shared" ref="H18" si="2">G18+H17</f>
        <v>109100</v>
      </c>
      <c r="I18" s="1">
        <f t="shared" ref="I18:K18" si="3">H18+I17</f>
        <v>133800</v>
      </c>
      <c r="J18" s="1">
        <f t="shared" si="3"/>
        <v>168500</v>
      </c>
      <c r="K18" s="1">
        <f t="shared" si="3"/>
        <v>208750</v>
      </c>
      <c r="L18" s="1"/>
      <c r="M18" s="1"/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ISAAC FRANCISCO RIOS MARTINEZ</cp:lastModifiedBy>
  <cp:lastPrinted>2012-06-13T17:33:48Z</cp:lastPrinted>
  <dcterms:created xsi:type="dcterms:W3CDTF">2012-05-23T17:29:07Z</dcterms:created>
  <dcterms:modified xsi:type="dcterms:W3CDTF">2026-04-23T16:23:07Z</dcterms:modified>
</cp:coreProperties>
</file>